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342" documentId="13_ncr:1_{757D0D05-C523-49BE-B507-997048BE9F4A}" xr6:coauthVersionLast="47" xr6:coauthVersionMax="47" xr10:uidLastSave="{5B6797D4-9C78-4AE2-92DE-0F7C3243ADAA}"/>
  <bookViews>
    <workbookView xWindow="-110" yWindow="-110" windowWidth="19420" windowHeight="10300" xr2:uid="{00000000-000D-0000-FFFF-FFFF00000000}"/>
  </bookViews>
  <sheets>
    <sheet name="11-1Ross" sheetId="1" r:id="rId1"/>
    <sheet name="Resumo do cenário 2" sheetId="8" r:id="rId2"/>
    <sheet name="Resumo do cenário 3" sheetId="9" r:id="rId3"/>
    <sheet name="Resumo do cenário" sheetId="7" r:id="rId4"/>
  </sheets>
  <definedNames>
    <definedName name="solver_adj" localSheetId="0" hidden="1">'11-1Ross'!$D$16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'11-1Ross'!$J$26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8" l="1"/>
  <c r="J13" i="8"/>
  <c r="J12" i="8"/>
  <c r="J11" i="8"/>
  <c r="C25" i="1"/>
  <c r="E24" i="7" l="1"/>
  <c r="J30" i="1"/>
  <c r="J31" i="1" s="1"/>
  <c r="J29" i="1"/>
  <c r="J28" i="1"/>
  <c r="E23" i="7"/>
  <c r="E22" i="7"/>
  <c r="E25" i="7" l="1"/>
  <c r="D25" i="1"/>
  <c r="E25" i="1" s="1"/>
  <c r="F25" i="1" s="1"/>
  <c r="G25" i="1" s="1"/>
  <c r="D28" i="1"/>
  <c r="E28" i="1"/>
  <c r="F28" i="1" s="1"/>
  <c r="D32" i="1"/>
  <c r="E32" i="1"/>
  <c r="G34" i="1"/>
  <c r="G35" i="1"/>
  <c r="C28" i="1"/>
  <c r="C26" i="1"/>
  <c r="D26" i="1" s="1"/>
  <c r="E26" i="1" l="1"/>
  <c r="F26" i="1" s="1"/>
  <c r="G26" i="1" s="1"/>
  <c r="F32" i="1"/>
  <c r="G28" i="1"/>
  <c r="G32" i="1" s="1"/>
  <c r="C32" i="1" l="1"/>
  <c r="C27" i="1"/>
  <c r="D27" i="1" s="1"/>
  <c r="B36" i="1"/>
  <c r="B35" i="1"/>
  <c r="D14" i="1"/>
  <c r="E27" i="1" l="1"/>
  <c r="D29" i="1"/>
  <c r="D30" i="1" s="1"/>
  <c r="D31" i="1" s="1"/>
  <c r="D33" i="1" s="1"/>
  <c r="C29" i="1"/>
  <c r="J32" i="1" s="1"/>
  <c r="C30" i="1" l="1"/>
  <c r="C31" i="1" s="1"/>
  <c r="C33" i="1" s="1"/>
  <c r="F27" i="1"/>
  <c r="E29" i="1"/>
  <c r="E30" i="1" s="1"/>
  <c r="E31" i="1" s="1"/>
  <c r="E33" i="1" s="1"/>
  <c r="D36" i="1"/>
  <c r="C36" i="1" l="1"/>
  <c r="G27" i="1"/>
  <c r="G29" i="1" s="1"/>
  <c r="G30" i="1" s="1"/>
  <c r="G31" i="1" s="1"/>
  <c r="G33" i="1" s="1"/>
  <c r="F29" i="1"/>
  <c r="F30" i="1" s="1"/>
  <c r="F31" i="1" s="1"/>
  <c r="F33" i="1" s="1"/>
  <c r="E36" i="1"/>
  <c r="F36" i="1" l="1"/>
  <c r="G36" i="1"/>
  <c r="J26" i="1" l="1"/>
  <c r="I38" i="1" s="1"/>
  <c r="I48" i="1"/>
  <c r="J27" i="1"/>
</calcChain>
</file>

<file path=xl/sharedStrings.xml><?xml version="1.0" encoding="utf-8"?>
<sst xmlns="http://schemas.openxmlformats.org/spreadsheetml/2006/main" count="125" uniqueCount="68">
  <si>
    <t>Investimento inicial</t>
  </si>
  <si>
    <t>Valor residual</t>
  </si>
  <si>
    <t>Depreciação</t>
  </si>
  <si>
    <t>Alíquota IR</t>
  </si>
  <si>
    <t>Vendas unidades / ano</t>
  </si>
  <si>
    <t>Preço por unidade</t>
  </si>
  <si>
    <t>Custo Variável / unidade</t>
  </si>
  <si>
    <t>Custos Fixos por ano</t>
  </si>
  <si>
    <t>Vida útil (em anos)</t>
  </si>
  <si>
    <t>Inferior</t>
  </si>
  <si>
    <t>Superior</t>
  </si>
  <si>
    <t>Fluxos de Caixa</t>
  </si>
  <si>
    <t>Receitas</t>
  </si>
  <si>
    <t>Custo Variável</t>
  </si>
  <si>
    <t>Custo Fixo</t>
  </si>
  <si>
    <t>LAJIR</t>
  </si>
  <si>
    <t>IR</t>
  </si>
  <si>
    <t>LL</t>
  </si>
  <si>
    <t>Fluxo Caixa Operacional</t>
  </si>
  <si>
    <t>CG</t>
  </si>
  <si>
    <t>Investimento</t>
  </si>
  <si>
    <t>FCL</t>
  </si>
  <si>
    <t>Retorno exigido</t>
  </si>
  <si>
    <t>TMA</t>
  </si>
  <si>
    <t>VPL</t>
  </si>
  <si>
    <t>TIR</t>
  </si>
  <si>
    <t>Normal</t>
  </si>
  <si>
    <t>Financeiro</t>
  </si>
  <si>
    <t>unidades</t>
  </si>
  <si>
    <t>Qtd. Vendida</t>
  </si>
  <si>
    <t>Preço</t>
  </si>
  <si>
    <t>Venda</t>
  </si>
  <si>
    <t>Resumo do cenário</t>
  </si>
  <si>
    <t>Células variáveis:</t>
  </si>
  <si>
    <t>Valores atuais:</t>
  </si>
  <si>
    <t>Células de resultado:</t>
  </si>
  <si>
    <t>Observações: A coluna Valores atuais representa os valores das células</t>
  </si>
  <si>
    <t>variáveis no momento em que o Relatório de Resumo do Cenário foi criado.</t>
  </si>
  <si>
    <t>As células variáveis para cada cenário estão destacadas em cinza.</t>
  </si>
  <si>
    <t>PE - Contábil</t>
  </si>
  <si>
    <t>PGTO de Inv. Inicial</t>
  </si>
  <si>
    <t>PE - Caixa</t>
  </si>
  <si>
    <t>PE - Financeiro s/IR</t>
  </si>
  <si>
    <t>com atingir meta</t>
  </si>
  <si>
    <t>LL=0</t>
  </si>
  <si>
    <t>FCO = 0</t>
  </si>
  <si>
    <t>VPL=0</t>
  </si>
  <si>
    <t>Pessimista</t>
  </si>
  <si>
    <t>Otimista</t>
  </si>
  <si>
    <t>$D$18</t>
  </si>
  <si>
    <t>$D$19</t>
  </si>
  <si>
    <t>$D$20</t>
  </si>
  <si>
    <t>$D$21</t>
  </si>
  <si>
    <t>$J$26</t>
  </si>
  <si>
    <t>$J$27</t>
  </si>
  <si>
    <t>Criado por Autor em 04/05/2023
Alterado por Autor em 04/05/2023</t>
  </si>
  <si>
    <t>Criado por Autor em 04/05/2023
Alterado por Autor em 04/05/2023
Alterado por Autor em 04/05/2023</t>
  </si>
  <si>
    <t>Pesos</t>
  </si>
  <si>
    <t>VPL esperado</t>
  </si>
  <si>
    <t>Risco</t>
  </si>
  <si>
    <t>Variância</t>
  </si>
  <si>
    <t>Coef. Variação</t>
  </si>
  <si>
    <t>Criado por Autor em 03/10/2023</t>
  </si>
  <si>
    <t>Desvio Padrão</t>
  </si>
  <si>
    <t>R$</t>
  </si>
  <si>
    <t>CV</t>
  </si>
  <si>
    <t>Criado por Lélis Pedro de Andrade em 17/10/2023</t>
  </si>
  <si>
    <t>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</si>
</sst>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3" formatCode="_-* #,##0.00_-;\-* #,##0.00_-;_-* &quot;-&quot;??_-;_-@_-"/>
    <numFmt numFmtId="164" formatCode="#,##0.00;[Red]#,##0.0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0" fontId="0" fillId="0" borderId="0" xfId="2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43" fontId="0" fillId="0" borderId="0" xfId="1" applyFont="1"/>
    <xf numFmtId="43" fontId="0" fillId="0" borderId="0" xfId="0" applyNumberFormat="1"/>
    <xf numFmtId="8" fontId="0" fillId="0" borderId="0" xfId="0" applyNumberFormat="1"/>
    <xf numFmtId="8" fontId="0" fillId="0" borderId="0" xfId="1" applyNumberFormat="1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10" fontId="0" fillId="2" borderId="0" xfId="2" applyNumberFormat="1" applyFont="1" applyFill="1"/>
    <xf numFmtId="0" fontId="2" fillId="0" borderId="1" xfId="0" applyFont="1" applyBorder="1"/>
    <xf numFmtId="0" fontId="2" fillId="0" borderId="0" xfId="0" applyFont="1" applyAlignment="1">
      <alignment horizontal="right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1" applyNumberFormat="1" applyFont="1"/>
    <xf numFmtId="164" fontId="0" fillId="0" borderId="5" xfId="0" applyNumberFormat="1" applyBorder="1"/>
    <xf numFmtId="164" fontId="0" fillId="0" borderId="6" xfId="0" applyNumberFormat="1" applyBorder="1"/>
    <xf numFmtId="10" fontId="2" fillId="0" borderId="1" xfId="2" applyNumberFormat="1" applyFont="1" applyBorder="1"/>
    <xf numFmtId="10" fontId="0" fillId="0" borderId="0" xfId="2" applyNumberFormat="1" applyFont="1" applyFill="1"/>
    <xf numFmtId="0" fontId="2" fillId="3" borderId="0" xfId="0" applyFont="1" applyFill="1"/>
    <xf numFmtId="43" fontId="2" fillId="3" borderId="0" xfId="1" applyFont="1" applyFill="1"/>
    <xf numFmtId="10" fontId="0" fillId="0" borderId="8" xfId="0" applyNumberFormat="1" applyBorder="1"/>
    <xf numFmtId="0" fontId="3" fillId="4" borderId="9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0" fillId="0" borderId="2" xfId="0" applyBorder="1"/>
    <xf numFmtId="0" fontId="4" fillId="5" borderId="0" xfId="0" applyFont="1" applyFill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right"/>
    </xf>
    <xf numFmtId="0" fontId="6" fillId="4" borderId="9" xfId="0" applyFont="1" applyFill="1" applyBorder="1" applyAlignment="1">
      <alignment horizontal="right"/>
    </xf>
    <xf numFmtId="0" fontId="0" fillId="6" borderId="0" xfId="0" applyFill="1"/>
    <xf numFmtId="0" fontId="7" fillId="0" borderId="0" xfId="0" applyFont="1" applyAlignment="1">
      <alignment vertical="top" wrapText="1"/>
    </xf>
    <xf numFmtId="164" fontId="0" fillId="0" borderId="0" xfId="0" applyNumberFormat="1"/>
    <xf numFmtId="164" fontId="0" fillId="2" borderId="0" xfId="1" applyNumberFormat="1" applyFont="1" applyFill="1"/>
    <xf numFmtId="10" fontId="0" fillId="2" borderId="0" xfId="0" applyNumberFormat="1" applyFill="1"/>
    <xf numFmtId="164" fontId="0" fillId="6" borderId="0" xfId="0" applyNumberFormat="1" applyFill="1"/>
    <xf numFmtId="10" fontId="2" fillId="0" borderId="0" xfId="2" applyNumberFormat="1" applyFont="1" applyBorder="1"/>
    <xf numFmtId="165" fontId="0" fillId="0" borderId="0" xfId="0" applyNumberFormat="1"/>
    <xf numFmtId="0" fontId="0" fillId="2" borderId="10" xfId="0" applyFill="1" applyBorder="1"/>
    <xf numFmtId="164" fontId="2" fillId="0" borderId="1" xfId="1" applyNumberFormat="1" applyFont="1" applyFill="1" applyBorder="1"/>
    <xf numFmtId="164" fontId="0" fillId="0" borderId="0" xfId="1" applyNumberFormat="1" applyFont="1" applyFill="1"/>
    <xf numFmtId="2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57150</xdr:rowOff>
    </xdr:from>
    <xdr:to>
      <xdr:col>8</xdr:col>
      <xdr:colOff>178954</xdr:colOff>
      <xdr:row>7</xdr:row>
      <xdr:rowOff>75045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900" y="57150"/>
          <a:ext cx="8033327" cy="13109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Um projeto que está sendo considerado custa $750.000, tem vida útil de cinco anos e nenhum valor residual. A depreciação é linear até zero. O retorno exigido é de 17%, e a alíquota tributária é de 34%. As vendas são projetadas a 500 unidades por ano. O preço por unidade é $2.500, o custo variável por unidade é de $1.500 e os custos fixos são de $200.000 por ano. </a:t>
          </a:r>
        </a:p>
        <a:p>
          <a:endParaRPr lang="pt-B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Análise de cenários</a:t>
          </a:r>
          <a:r>
            <a:rPr lang="pt-B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. Suponhamos que, no seu julgamento, as projeções de vendas unitárias, preço, custo variável e custo fixo dadas aqui possam desviar em até 5%. Quais são os limites superior e inferior para essas projeções? Qual é o VPL do caso-base? Quais são os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VPLs do melhor e do pior cenário?</a:t>
          </a:r>
          <a:r>
            <a:rPr lang="pt-BR"/>
            <a:t> </a:t>
          </a:r>
          <a:endParaRPr lang="pt-B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P66"/>
  <sheetViews>
    <sheetView showGridLines="0" tabSelected="1" zoomScale="90" zoomScaleNormal="90" workbookViewId="0">
      <selection activeCell="B10" sqref="B10"/>
    </sheetView>
  </sheetViews>
  <sheetFormatPr defaultRowHeight="14.5" x14ac:dyDescent="0.35"/>
  <cols>
    <col min="2" max="2" width="20.26953125" bestFit="1" customWidth="1"/>
    <col min="3" max="3" width="14.81640625" customWidth="1"/>
    <col min="4" max="7" width="15.26953125" bestFit="1" customWidth="1"/>
    <col min="9" max="9" width="16.81640625" bestFit="1" customWidth="1"/>
    <col min="10" max="10" width="13.81640625" bestFit="1" customWidth="1"/>
    <col min="11" max="11" width="13.08984375" bestFit="1" customWidth="1"/>
    <col min="12" max="14" width="12.36328125" bestFit="1" customWidth="1"/>
    <col min="15" max="16" width="11.08984375" bestFit="1" customWidth="1"/>
  </cols>
  <sheetData>
    <row r="9" spans="2:6" x14ac:dyDescent="0.35">
      <c r="E9" s="2">
        <v>-0.05</v>
      </c>
      <c r="F9" s="2">
        <v>0.05</v>
      </c>
    </row>
    <row r="10" spans="2:6" x14ac:dyDescent="0.35">
      <c r="D10" s="10" t="s">
        <v>26</v>
      </c>
      <c r="E10" t="s">
        <v>9</v>
      </c>
      <c r="F10" t="s">
        <v>10</v>
      </c>
    </row>
    <row r="11" spans="2:6" x14ac:dyDescent="0.35">
      <c r="B11" t="s">
        <v>0</v>
      </c>
      <c r="D11" s="37">
        <v>-750000</v>
      </c>
    </row>
    <row r="12" spans="2:6" x14ac:dyDescent="0.35">
      <c r="B12" t="s">
        <v>1</v>
      </c>
      <c r="D12" s="11">
        <v>0</v>
      </c>
    </row>
    <row r="13" spans="2:6" x14ac:dyDescent="0.35">
      <c r="B13" t="s">
        <v>8</v>
      </c>
      <c r="D13" s="11">
        <v>5</v>
      </c>
    </row>
    <row r="14" spans="2:6" x14ac:dyDescent="0.35">
      <c r="B14" t="s">
        <v>2</v>
      </c>
      <c r="D14" s="37">
        <f>D11/D13</f>
        <v>-150000</v>
      </c>
    </row>
    <row r="15" spans="2:6" x14ac:dyDescent="0.35">
      <c r="B15" t="s">
        <v>3</v>
      </c>
      <c r="D15" s="12">
        <v>0.34</v>
      </c>
    </row>
    <row r="16" spans="2:6" x14ac:dyDescent="0.35">
      <c r="B16" t="s">
        <v>22</v>
      </c>
      <c r="D16" s="12">
        <v>0.17</v>
      </c>
    </row>
    <row r="17" spans="1:12" x14ac:dyDescent="0.35">
      <c r="D17" s="11"/>
      <c r="E17" t="s">
        <v>47</v>
      </c>
      <c r="F17" t="s">
        <v>48</v>
      </c>
    </row>
    <row r="18" spans="1:12" x14ac:dyDescent="0.35">
      <c r="B18" s="9" t="s">
        <v>4</v>
      </c>
      <c r="D18" s="11">
        <v>500</v>
      </c>
      <c r="E18" s="42">
        <v>475</v>
      </c>
      <c r="F18" s="42">
        <v>525</v>
      </c>
    </row>
    <row r="19" spans="1:12" x14ac:dyDescent="0.35">
      <c r="B19" s="9" t="s">
        <v>5</v>
      </c>
      <c r="D19" s="37">
        <v>2500</v>
      </c>
      <c r="E19" s="42">
        <v>2375</v>
      </c>
      <c r="F19" s="42">
        <v>2625</v>
      </c>
      <c r="J19" s="8"/>
    </row>
    <row r="20" spans="1:12" x14ac:dyDescent="0.35">
      <c r="B20" s="9" t="s">
        <v>6</v>
      </c>
      <c r="D20" s="37">
        <v>-1500</v>
      </c>
      <c r="E20" s="42">
        <v>-1575</v>
      </c>
      <c r="F20" s="42">
        <v>-1425</v>
      </c>
    </row>
    <row r="21" spans="1:12" x14ac:dyDescent="0.35">
      <c r="B21" s="9" t="s">
        <v>7</v>
      </c>
      <c r="D21" s="37">
        <v>-200000</v>
      </c>
      <c r="E21" s="42">
        <v>-210000</v>
      </c>
      <c r="F21" s="42">
        <v>-190000</v>
      </c>
    </row>
    <row r="23" spans="1:12" x14ac:dyDescent="0.35">
      <c r="B23" s="11" t="s">
        <v>11</v>
      </c>
    </row>
    <row r="24" spans="1:12" x14ac:dyDescent="0.35">
      <c r="B24" s="3">
        <v>0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</row>
    <row r="25" spans="1:12" x14ac:dyDescent="0.35">
      <c r="A25" t="s">
        <v>12</v>
      </c>
      <c r="B25" s="36"/>
      <c r="C25" s="36">
        <f>D18*D19</f>
        <v>1250000</v>
      </c>
      <c r="D25" s="36">
        <f>C25</f>
        <v>1250000</v>
      </c>
      <c r="E25" s="36">
        <f t="shared" ref="E25:G25" si="0">D25</f>
        <v>1250000</v>
      </c>
      <c r="F25" s="36">
        <f t="shared" si="0"/>
        <v>1250000</v>
      </c>
      <c r="G25" s="36">
        <f t="shared" si="0"/>
        <v>1250000</v>
      </c>
      <c r="I25" t="s">
        <v>23</v>
      </c>
      <c r="J25" s="38">
        <v>0.17</v>
      </c>
    </row>
    <row r="26" spans="1:12" x14ac:dyDescent="0.35">
      <c r="A26" t="s">
        <v>13</v>
      </c>
      <c r="B26" s="36"/>
      <c r="C26" s="36">
        <f>D20*D18</f>
        <v>-750000</v>
      </c>
      <c r="D26" s="36">
        <f>C26</f>
        <v>-750000</v>
      </c>
      <c r="E26" s="36">
        <f t="shared" ref="E26:G26" si="1">D26</f>
        <v>-750000</v>
      </c>
      <c r="F26" s="36">
        <f t="shared" si="1"/>
        <v>-750000</v>
      </c>
      <c r="G26" s="36">
        <f t="shared" si="1"/>
        <v>-750000</v>
      </c>
      <c r="I26" s="23" t="s">
        <v>24</v>
      </c>
      <c r="J26" s="24">
        <f>NPV(J25,C36:G36)+B36</f>
        <v>46637.194519574754</v>
      </c>
    </row>
    <row r="27" spans="1:12" x14ac:dyDescent="0.35">
      <c r="A27" t="s">
        <v>14</v>
      </c>
      <c r="B27" s="36"/>
      <c r="C27" s="36">
        <f>D21</f>
        <v>-200000</v>
      </c>
      <c r="D27" s="36">
        <f>C27</f>
        <v>-200000</v>
      </c>
      <c r="E27" s="36">
        <f t="shared" ref="E27:G27" si="2">D27</f>
        <v>-200000</v>
      </c>
      <c r="F27" s="36">
        <f t="shared" si="2"/>
        <v>-200000</v>
      </c>
      <c r="G27" s="36">
        <f t="shared" si="2"/>
        <v>-200000</v>
      </c>
      <c r="I27" t="s">
        <v>25</v>
      </c>
      <c r="J27" s="4">
        <f>IRR(B36:G36)</f>
        <v>0.19676172089344157</v>
      </c>
    </row>
    <row r="28" spans="1:12" x14ac:dyDescent="0.35">
      <c r="A28" t="s">
        <v>2</v>
      </c>
      <c r="B28" s="36"/>
      <c r="C28" s="36">
        <f>D14</f>
        <v>-150000</v>
      </c>
      <c r="D28" s="36">
        <f>C28</f>
        <v>-150000</v>
      </c>
      <c r="E28" s="36">
        <f t="shared" ref="E28:G28" si="3">D28</f>
        <v>-150000</v>
      </c>
      <c r="F28" s="36">
        <f t="shared" si="3"/>
        <v>-150000</v>
      </c>
      <c r="G28" s="36">
        <f t="shared" si="3"/>
        <v>-150000</v>
      </c>
      <c r="I28" s="9" t="s">
        <v>39</v>
      </c>
      <c r="J28" s="6">
        <f>-(D21+D14)/(D19+D20)</f>
        <v>350</v>
      </c>
      <c r="K28" t="s">
        <v>28</v>
      </c>
      <c r="L28" t="s">
        <v>44</v>
      </c>
    </row>
    <row r="29" spans="1:12" x14ac:dyDescent="0.35">
      <c r="A29" t="s">
        <v>15</v>
      </c>
      <c r="B29" s="36"/>
      <c r="C29" s="36">
        <f>C25+SUM(C26:C28)</f>
        <v>150000</v>
      </c>
      <c r="D29" s="36">
        <f t="shared" ref="D29:G29" si="4">D25+SUM(D26:D28)</f>
        <v>150000</v>
      </c>
      <c r="E29" s="36">
        <f t="shared" si="4"/>
        <v>150000</v>
      </c>
      <c r="F29" s="36">
        <f t="shared" si="4"/>
        <v>150000</v>
      </c>
      <c r="G29" s="36">
        <f t="shared" si="4"/>
        <v>150000</v>
      </c>
      <c r="I29" s="9" t="s">
        <v>41</v>
      </c>
      <c r="J29" s="6">
        <f>-D21/(D19+D20)</f>
        <v>200</v>
      </c>
      <c r="K29" t="s">
        <v>28</v>
      </c>
      <c r="L29" t="s">
        <v>45</v>
      </c>
    </row>
    <row r="30" spans="1:12" x14ac:dyDescent="0.35">
      <c r="A30" t="s">
        <v>16</v>
      </c>
      <c r="B30" s="36"/>
      <c r="C30" s="36">
        <f>-$D$15*C29</f>
        <v>-51000.000000000007</v>
      </c>
      <c r="D30" s="36">
        <f t="shared" ref="D30:G30" si="5">-$D$15*D29</f>
        <v>-51000.000000000007</v>
      </c>
      <c r="E30" s="36">
        <f t="shared" si="5"/>
        <v>-51000.000000000007</v>
      </c>
      <c r="F30" s="36">
        <f t="shared" si="5"/>
        <v>-51000.000000000007</v>
      </c>
      <c r="G30" s="36">
        <f t="shared" si="5"/>
        <v>-51000.000000000007</v>
      </c>
      <c r="I30" t="s">
        <v>40</v>
      </c>
      <c r="J30" s="7">
        <f>PMT(J25,5,D11)</f>
        <v>234422.89825875219</v>
      </c>
    </row>
    <row r="31" spans="1:12" x14ac:dyDescent="0.35">
      <c r="A31" t="s">
        <v>17</v>
      </c>
      <c r="B31" s="36"/>
      <c r="C31" s="36">
        <f>C29+C30</f>
        <v>99000</v>
      </c>
      <c r="D31" s="36">
        <f t="shared" ref="D31:G31" si="6">D29+D30</f>
        <v>99000</v>
      </c>
      <c r="E31" s="36">
        <f t="shared" si="6"/>
        <v>99000</v>
      </c>
      <c r="F31" s="36">
        <f t="shared" si="6"/>
        <v>99000</v>
      </c>
      <c r="G31" s="36">
        <f t="shared" si="6"/>
        <v>99000</v>
      </c>
      <c r="I31" t="s">
        <v>42</v>
      </c>
      <c r="J31" s="6">
        <f>(-D21+J30)/(D19+D20)</f>
        <v>434.42289825875218</v>
      </c>
      <c r="K31" t="s">
        <v>28</v>
      </c>
    </row>
    <row r="32" spans="1:12" x14ac:dyDescent="0.35">
      <c r="A32" t="s">
        <v>2</v>
      </c>
      <c r="B32" s="36"/>
      <c r="C32" s="36">
        <f>-C28</f>
        <v>150000</v>
      </c>
      <c r="D32" s="36">
        <f t="shared" ref="D32:G32" si="7">-D28</f>
        <v>150000</v>
      </c>
      <c r="E32" s="36">
        <f t="shared" si="7"/>
        <v>150000</v>
      </c>
      <c r="F32" s="36">
        <f t="shared" si="7"/>
        <v>150000</v>
      </c>
      <c r="G32" s="36">
        <f t="shared" si="7"/>
        <v>150000</v>
      </c>
      <c r="I32" t="s">
        <v>67</v>
      </c>
      <c r="J32">
        <f>1+(-D21/(C29-C28))</f>
        <v>1.6666666666666665</v>
      </c>
    </row>
    <row r="33" spans="1:16" x14ac:dyDescent="0.35">
      <c r="A33" t="s">
        <v>18</v>
      </c>
      <c r="B33" s="36"/>
      <c r="C33" s="36">
        <f>C31+C32</f>
        <v>249000</v>
      </c>
      <c r="D33" s="36">
        <f t="shared" ref="D33:G33" si="8">D31+D32</f>
        <v>249000</v>
      </c>
      <c r="E33" s="36">
        <f t="shared" si="8"/>
        <v>249000</v>
      </c>
      <c r="F33" s="36">
        <f t="shared" si="8"/>
        <v>249000</v>
      </c>
      <c r="G33" s="36">
        <f t="shared" si="8"/>
        <v>249000</v>
      </c>
      <c r="I33" s="9" t="s">
        <v>27</v>
      </c>
      <c r="J33">
        <v>477.91</v>
      </c>
      <c r="K33" t="s">
        <v>28</v>
      </c>
      <c r="L33" t="s">
        <v>46</v>
      </c>
    </row>
    <row r="34" spans="1:16" x14ac:dyDescent="0.35">
      <c r="A34" t="s">
        <v>19</v>
      </c>
      <c r="B34" s="36">
        <v>0</v>
      </c>
      <c r="C34" s="36"/>
      <c r="D34" s="36"/>
      <c r="E34" s="36"/>
      <c r="F34" s="36"/>
      <c r="G34" s="36">
        <f>B34</f>
        <v>0</v>
      </c>
      <c r="J34" s="7" t="s">
        <v>43</v>
      </c>
      <c r="K34" s="6"/>
    </row>
    <row r="35" spans="1:16" x14ac:dyDescent="0.35">
      <c r="A35" t="s">
        <v>20</v>
      </c>
      <c r="B35" s="36">
        <f>D11</f>
        <v>-750000</v>
      </c>
      <c r="C35" s="36"/>
      <c r="D35" s="36"/>
      <c r="E35" s="36"/>
      <c r="F35" s="36"/>
      <c r="G35" s="36">
        <f>D12</f>
        <v>0</v>
      </c>
    </row>
    <row r="36" spans="1:16" x14ac:dyDescent="0.35">
      <c r="A36" s="13" t="s">
        <v>21</v>
      </c>
      <c r="B36" s="15">
        <f>SUM(B33:B35)</f>
        <v>-750000</v>
      </c>
      <c r="C36" s="15">
        <f>SUM(C33:C35)</f>
        <v>249000</v>
      </c>
      <c r="D36" s="15">
        <f t="shared" ref="D36:G36" si="9">SUM(D33:D35)</f>
        <v>249000</v>
      </c>
      <c r="E36" s="15">
        <f t="shared" si="9"/>
        <v>249000</v>
      </c>
      <c r="F36" s="15">
        <f t="shared" si="9"/>
        <v>249000</v>
      </c>
      <c r="G36" s="16">
        <f t="shared" si="9"/>
        <v>249000</v>
      </c>
    </row>
    <row r="37" spans="1:16" x14ac:dyDescent="0.35">
      <c r="I37" s="9" t="s">
        <v>24</v>
      </c>
      <c r="L37" s="9" t="s">
        <v>29</v>
      </c>
    </row>
    <row r="38" spans="1:16" x14ac:dyDescent="0.35">
      <c r="I38" s="43">
        <f>J26</f>
        <v>46637.194519574754</v>
      </c>
      <c r="J38" s="15">
        <v>475</v>
      </c>
      <c r="K38" s="15">
        <v>490</v>
      </c>
      <c r="L38" s="15">
        <v>500</v>
      </c>
      <c r="M38" s="15">
        <v>515</v>
      </c>
      <c r="N38" s="16">
        <v>525</v>
      </c>
    </row>
    <row r="39" spans="1:16" x14ac:dyDescent="0.35">
      <c r="I39" s="17">
        <v>2375</v>
      </c>
      <c r="J39" s="44">
        <f t="dataTable" ref="J39:N45" dt2D="1" dtr="1" r1="D18" r2="D19"/>
        <v>-131526.39491740859</v>
      </c>
      <c r="K39" s="44">
        <v>-103812.05878276669</v>
      </c>
      <c r="L39" s="44">
        <v>-85335.834693005541</v>
      </c>
      <c r="M39" s="18">
        <v>-57621.498558363644</v>
      </c>
      <c r="N39" s="18">
        <v>-39145.274468602496</v>
      </c>
      <c r="O39" s="5"/>
      <c r="P39" s="5"/>
    </row>
    <row r="40" spans="1:16" x14ac:dyDescent="0.35">
      <c r="I40" s="19">
        <v>2400</v>
      </c>
      <c r="J40" s="44">
        <v>-106451.51936701825</v>
      </c>
      <c r="K40" s="44">
        <v>-77945.345057100989</v>
      </c>
      <c r="L40" s="44">
        <v>-58941.228850489366</v>
      </c>
      <c r="M40" s="18">
        <v>-30435.054540572222</v>
      </c>
      <c r="N40" s="18">
        <v>-11430.938333960483</v>
      </c>
      <c r="O40" s="5"/>
      <c r="P40" s="5"/>
    </row>
    <row r="41" spans="1:16" x14ac:dyDescent="0.35">
      <c r="H41" s="14" t="s">
        <v>30</v>
      </c>
      <c r="I41" s="19">
        <v>2450</v>
      </c>
      <c r="J41" s="44">
        <v>-56301.768266237807</v>
      </c>
      <c r="K41" s="44">
        <v>-26211.917605769471</v>
      </c>
      <c r="L41" s="44">
        <v>-6152.0171654574806</v>
      </c>
      <c r="M41" s="18">
        <v>23937.833495010855</v>
      </c>
      <c r="N41" s="18">
        <v>43997.733935323195</v>
      </c>
      <c r="O41" s="5"/>
      <c r="P41" s="5"/>
    </row>
    <row r="42" spans="1:16" x14ac:dyDescent="0.35">
      <c r="H42" s="14" t="s">
        <v>31</v>
      </c>
      <c r="I42" s="19">
        <v>2500</v>
      </c>
      <c r="J42" s="44">
        <v>-6152.0171654574806</v>
      </c>
      <c r="K42" s="44">
        <v>25521.509845561814</v>
      </c>
      <c r="L42" s="44">
        <v>46637.194519574754</v>
      </c>
      <c r="M42" s="18">
        <v>78310.721530593932</v>
      </c>
      <c r="N42" s="18">
        <v>99426.406204606639</v>
      </c>
      <c r="O42" s="5"/>
      <c r="P42" s="5"/>
    </row>
    <row r="43" spans="1:16" x14ac:dyDescent="0.35">
      <c r="I43" s="19">
        <v>2550</v>
      </c>
      <c r="J43" s="44">
        <v>43997.733935323195</v>
      </c>
      <c r="K43" s="44">
        <v>77254.937296893215</v>
      </c>
      <c r="L43" s="44">
        <v>99426.406204606639</v>
      </c>
      <c r="M43" s="18">
        <v>132683.60956617689</v>
      </c>
      <c r="N43" s="18">
        <v>154855.07847389043</v>
      </c>
      <c r="O43" s="5"/>
      <c r="P43" s="5"/>
    </row>
    <row r="44" spans="1:16" x14ac:dyDescent="0.35">
      <c r="I44" s="19">
        <v>2600</v>
      </c>
      <c r="J44" s="44">
        <v>94147.485036103521</v>
      </c>
      <c r="K44" s="44">
        <v>128988.36474822473</v>
      </c>
      <c r="L44" s="44">
        <v>152215.61788963876</v>
      </c>
      <c r="M44" s="18">
        <v>187056.49760176009</v>
      </c>
      <c r="N44" s="18">
        <v>210283.75074317399</v>
      </c>
      <c r="O44" s="5"/>
      <c r="P44" s="5"/>
    </row>
    <row r="45" spans="1:16" x14ac:dyDescent="0.35">
      <c r="I45" s="20">
        <v>2625</v>
      </c>
      <c r="J45" s="44">
        <v>119222.36058649386</v>
      </c>
      <c r="K45" s="44">
        <v>154855.07847389043</v>
      </c>
      <c r="L45" s="44">
        <v>178610.22373215482</v>
      </c>
      <c r="M45" s="18">
        <v>214242.94161955139</v>
      </c>
      <c r="N45" s="18">
        <v>237998.08687781601</v>
      </c>
      <c r="O45" s="5"/>
      <c r="P45" s="5"/>
    </row>
    <row r="47" spans="1:16" x14ac:dyDescent="0.35">
      <c r="I47" s="9" t="s">
        <v>25</v>
      </c>
      <c r="L47" s="9" t="s">
        <v>29</v>
      </c>
    </row>
    <row r="48" spans="1:16" x14ac:dyDescent="0.35">
      <c r="I48" s="21">
        <f>IRR(B36:G36)</f>
        <v>0.19676172089344157</v>
      </c>
      <c r="J48" s="15">
        <v>475</v>
      </c>
      <c r="K48" s="15">
        <v>490</v>
      </c>
      <c r="L48" s="15">
        <v>500</v>
      </c>
      <c r="M48" s="15">
        <v>515</v>
      </c>
      <c r="N48" s="16">
        <v>525</v>
      </c>
    </row>
    <row r="49" spans="8:14" x14ac:dyDescent="0.35">
      <c r="I49" s="17">
        <v>2375</v>
      </c>
      <c r="J49" s="1">
        <f t="dataTable" ref="J49:N55" dt2D="1" dtr="1" r1="D18" r2="D19" ca="1"/>
        <v>9.0985213934557718E-2</v>
      </c>
      <c r="K49" s="1">
        <v>0.10813192520355086</v>
      </c>
      <c r="L49" s="1">
        <v>0.11940362434107787</v>
      </c>
      <c r="M49" s="1">
        <v>0.13608842352588035</v>
      </c>
      <c r="N49" s="1">
        <v>0.14707181850925011</v>
      </c>
    </row>
    <row r="50" spans="8:14" x14ac:dyDescent="0.35">
      <c r="I50" s="19">
        <v>2400</v>
      </c>
      <c r="J50" s="1">
        <v>0.10651152507872697</v>
      </c>
      <c r="K50" s="1">
        <v>0.12387840348831025</v>
      </c>
      <c r="L50" s="1">
        <v>0.13529971931695384</v>
      </c>
      <c r="M50" s="1">
        <v>0.15221281465900383</v>
      </c>
      <c r="N50" s="1">
        <v>0.16335079087377435</v>
      </c>
    </row>
    <row r="51" spans="8:14" x14ac:dyDescent="0.35">
      <c r="H51" s="14" t="s">
        <v>30</v>
      </c>
      <c r="I51" s="19">
        <v>2450</v>
      </c>
      <c r="J51" s="1">
        <v>0.13687656220643629</v>
      </c>
      <c r="K51" s="1">
        <v>0.15469714649998645</v>
      </c>
      <c r="L51" s="1">
        <v>0.16642605540952893</v>
      </c>
      <c r="M51" s="1">
        <v>0.18380755123669279</v>
      </c>
      <c r="N51" s="1">
        <v>0.19526212490799311</v>
      </c>
    </row>
    <row r="52" spans="8:14" x14ac:dyDescent="0.35">
      <c r="H52" s="14" t="s">
        <v>31</v>
      </c>
      <c r="I52" s="19">
        <v>2500</v>
      </c>
      <c r="J52" s="22">
        <v>0.16642605540952893</v>
      </c>
      <c r="K52" s="1">
        <v>0.18471562871747826</v>
      </c>
      <c r="L52" s="1">
        <v>0.19676172089344157</v>
      </c>
      <c r="M52" s="1">
        <v>0.21462521203059981</v>
      </c>
      <c r="N52" s="1">
        <v>0.22640497334237075</v>
      </c>
    </row>
    <row r="53" spans="8:14" x14ac:dyDescent="0.35">
      <c r="I53" s="19">
        <v>2550</v>
      </c>
      <c r="J53" s="1">
        <v>0.19526212490799311</v>
      </c>
      <c r="K53" s="1">
        <v>0.21403357550773783</v>
      </c>
      <c r="L53" s="1">
        <v>0.22640497334237075</v>
      </c>
      <c r="M53" s="1">
        <v>0.24476202192005725</v>
      </c>
      <c r="N53" s="1">
        <v>0.25687430653006493</v>
      </c>
    </row>
    <row r="54" spans="8:14" x14ac:dyDescent="0.35">
      <c r="I54" s="19">
        <v>2600</v>
      </c>
      <c r="J54" s="1">
        <v>0.22346936795265693</v>
      </c>
      <c r="K54" s="1">
        <v>0.24273374382226454</v>
      </c>
      <c r="L54" s="1">
        <v>0.25543743838714517</v>
      </c>
      <c r="M54" s="1">
        <v>0.27429803516980922</v>
      </c>
      <c r="N54" s="1">
        <v>0.28674920603851706</v>
      </c>
    </row>
    <row r="55" spans="8:14" x14ac:dyDescent="0.35">
      <c r="I55" s="20">
        <v>2625</v>
      </c>
      <c r="J55" s="1">
        <v>0.23735978755691445</v>
      </c>
      <c r="K55" s="1">
        <v>0.25687430653006493</v>
      </c>
      <c r="L55" s="1">
        <v>0.26974648602268525</v>
      </c>
      <c r="M55" s="1">
        <v>0.28886220642692484</v>
      </c>
      <c r="N55" s="1">
        <v>0.30148496012284265</v>
      </c>
    </row>
    <row r="57" spans="8:14" x14ac:dyDescent="0.35">
      <c r="I57" t="s">
        <v>23</v>
      </c>
      <c r="J57" s="22">
        <v>0.17</v>
      </c>
    </row>
    <row r="59" spans="8:14" x14ac:dyDescent="0.35">
      <c r="I59" s="40"/>
      <c r="J59" s="36"/>
      <c r="K59" s="36"/>
      <c r="L59" s="36"/>
      <c r="M59" s="36"/>
      <c r="N59" s="36"/>
    </row>
    <row r="60" spans="8:14" x14ac:dyDescent="0.35">
      <c r="I60" s="36"/>
      <c r="J60" s="41"/>
      <c r="K60" s="41"/>
      <c r="L60" s="41"/>
      <c r="M60" s="41"/>
      <c r="N60" s="41"/>
    </row>
    <row r="61" spans="8:14" x14ac:dyDescent="0.35">
      <c r="I61" s="36"/>
      <c r="J61" s="41"/>
      <c r="K61" s="41"/>
      <c r="L61" s="41"/>
      <c r="M61" s="41"/>
      <c r="N61" s="41"/>
    </row>
    <row r="62" spans="8:14" x14ac:dyDescent="0.35">
      <c r="I62" s="36"/>
      <c r="J62" s="41"/>
      <c r="K62" s="41"/>
      <c r="L62" s="41"/>
      <c r="M62" s="41"/>
      <c r="N62" s="41"/>
    </row>
    <row r="63" spans="8:14" x14ac:dyDescent="0.35">
      <c r="I63" s="36"/>
      <c r="J63" s="41"/>
      <c r="K63" s="41"/>
      <c r="L63" s="41"/>
      <c r="M63" s="41"/>
      <c r="N63" s="41"/>
    </row>
    <row r="64" spans="8:14" x14ac:dyDescent="0.35">
      <c r="I64" s="36"/>
      <c r="J64" s="41"/>
      <c r="K64" s="41"/>
      <c r="L64" s="41"/>
      <c r="M64" s="41"/>
      <c r="N64" s="41"/>
    </row>
    <row r="65" spans="9:14" x14ac:dyDescent="0.35">
      <c r="I65" s="36"/>
      <c r="J65" s="41"/>
      <c r="K65" s="41"/>
      <c r="L65" s="41"/>
      <c r="M65" s="41"/>
      <c r="N65" s="41"/>
    </row>
    <row r="66" spans="9:14" x14ac:dyDescent="0.35">
      <c r="I66" s="36"/>
      <c r="J66" s="41"/>
      <c r="K66" s="41"/>
      <c r="L66" s="41"/>
      <c r="M66" s="41"/>
      <c r="N66" s="41"/>
    </row>
  </sheetData>
  <scenarios current="1" show="1" sqref="J26:J27">
    <scenario name="Normal" locked="1" count="4" user="Autor" comment="Criado por Autor em 17/10/2023">
      <inputCells r="D18" val="500"/>
      <inputCells r="D19" val="2500" numFmtId="164"/>
      <inputCells r="D20" val="-1500" numFmtId="164"/>
      <inputCells r="D21" val="-200000" numFmtId="164"/>
    </scenario>
    <scenario name="Pessimista" locked="1" count="4" user="Autor" comment="Criado por Autor em 17/10/2023">
      <inputCells r="D18" val="475"/>
      <inputCells r="D19" val="2375" numFmtId="164"/>
      <inputCells r="D20" val="-1575" numFmtId="164"/>
      <inputCells r="D21" val="-210000" numFmtId="164"/>
    </scenario>
    <scenario name="Otimista" locked="1" count="4" user="Autor" comment="Criado por Autor em 17/10/2023">
      <inputCells r="D18" val="525"/>
      <inputCells r="D19" val="2625" numFmtId="164"/>
      <inputCells r="D20" val="-1425" numFmtId="164"/>
      <inputCells r="D21" val="-190000" numFmtId="164"/>
    </scenario>
  </scenarios>
  <conditionalFormatting sqref="J49:N55">
    <cfRule type="cellIs" dxfId="1" priority="1" operator="lessThan">
      <formula>$J$57</formula>
    </cfRule>
    <cfRule type="cellIs" dxfId="0" priority="6" operator="lessThan">
      <formula>0.17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7AB2-6F51-4A6C-B5FF-9660B1F2EB4D}">
  <sheetPr>
    <outlinePr summaryBelow="0"/>
  </sheetPr>
  <dimension ref="B1:K15"/>
  <sheetViews>
    <sheetView showGridLines="0" zoomScale="110" zoomScaleNormal="110" workbookViewId="0">
      <selection activeCell="D8" sqref="D8"/>
    </sheetView>
  </sheetViews>
  <sheetFormatPr defaultRowHeight="14.5" outlineLevelRow="1" outlineLevelCol="1" x14ac:dyDescent="0.35"/>
  <cols>
    <col min="3" max="3" width="26" customWidth="1"/>
    <col min="4" max="7" width="12" bestFit="1" customWidth="1" outlineLevel="1"/>
    <col min="9" max="9" width="13" customWidth="1"/>
    <col min="10" max="10" width="17.36328125" bestFit="1" customWidth="1"/>
  </cols>
  <sheetData>
    <row r="1" spans="2:11" ht="15" thickBot="1" x14ac:dyDescent="0.4"/>
    <row r="2" spans="2:11" ht="15.5" x14ac:dyDescent="0.35">
      <c r="B2" s="27" t="s">
        <v>32</v>
      </c>
      <c r="C2" s="27"/>
      <c r="D2" s="32"/>
      <c r="E2" s="32"/>
      <c r="F2" s="32"/>
      <c r="G2" s="32"/>
    </row>
    <row r="3" spans="2:11" ht="15.5" collapsed="1" x14ac:dyDescent="0.35">
      <c r="B3" s="26"/>
      <c r="C3" s="26"/>
      <c r="D3" s="33" t="s">
        <v>34</v>
      </c>
      <c r="E3" s="33" t="s">
        <v>26</v>
      </c>
      <c r="F3" s="33" t="s">
        <v>48</v>
      </c>
      <c r="G3" s="33" t="s">
        <v>47</v>
      </c>
    </row>
    <row r="4" spans="2:11" ht="21" hidden="1" outlineLevel="1" x14ac:dyDescent="0.35">
      <c r="B4" s="29"/>
      <c r="C4" s="29"/>
      <c r="E4" s="35" t="s">
        <v>62</v>
      </c>
      <c r="F4" s="35" t="s">
        <v>62</v>
      </c>
      <c r="G4" s="35" t="s">
        <v>62</v>
      </c>
    </row>
    <row r="5" spans="2:11" x14ac:dyDescent="0.35">
      <c r="B5" s="30" t="s">
        <v>33</v>
      </c>
      <c r="C5" s="30"/>
      <c r="D5" s="28"/>
      <c r="E5" s="28"/>
      <c r="F5" s="28"/>
      <c r="G5" s="28"/>
    </row>
    <row r="6" spans="2:11" outlineLevel="1" x14ac:dyDescent="0.35">
      <c r="B6" s="29"/>
      <c r="C6" s="9" t="s">
        <v>4</v>
      </c>
      <c r="D6">
        <v>500</v>
      </c>
      <c r="E6" s="34">
        <v>500</v>
      </c>
      <c r="F6" s="34">
        <v>525</v>
      </c>
      <c r="G6" s="34">
        <v>475</v>
      </c>
    </row>
    <row r="7" spans="2:11" outlineLevel="1" x14ac:dyDescent="0.35">
      <c r="B7" s="29"/>
      <c r="C7" s="9" t="s">
        <v>5</v>
      </c>
      <c r="D7" s="36">
        <v>2500</v>
      </c>
      <c r="E7" s="39">
        <v>2500</v>
      </c>
      <c r="F7" s="39">
        <v>2625</v>
      </c>
      <c r="G7" s="39">
        <v>2375</v>
      </c>
    </row>
    <row r="8" spans="2:11" outlineLevel="1" x14ac:dyDescent="0.35">
      <c r="B8" s="29"/>
      <c r="C8" s="9" t="s">
        <v>6</v>
      </c>
      <c r="D8" s="36">
        <v>-1500</v>
      </c>
      <c r="E8" s="39">
        <v>-1500</v>
      </c>
      <c r="F8" s="39">
        <v>-1425</v>
      </c>
      <c r="G8" s="39">
        <v>-1575</v>
      </c>
    </row>
    <row r="9" spans="2:11" outlineLevel="1" x14ac:dyDescent="0.35">
      <c r="B9" s="29"/>
      <c r="C9" s="9" t="s">
        <v>7</v>
      </c>
      <c r="D9" s="36">
        <v>-200000</v>
      </c>
      <c r="E9" s="39">
        <v>-200000</v>
      </c>
      <c r="F9" s="39">
        <v>-190000</v>
      </c>
      <c r="G9" s="39">
        <v>-210000</v>
      </c>
    </row>
    <row r="10" spans="2:11" x14ac:dyDescent="0.35">
      <c r="B10" s="30" t="s">
        <v>35</v>
      </c>
      <c r="C10" s="30"/>
      <c r="D10" s="28"/>
      <c r="E10" s="28">
        <v>0.5</v>
      </c>
      <c r="F10" s="28">
        <v>0.25</v>
      </c>
      <c r="G10" s="28">
        <v>0.25</v>
      </c>
    </row>
    <row r="11" spans="2:11" outlineLevel="1" x14ac:dyDescent="0.35">
      <c r="B11" s="29"/>
      <c r="C11" s="29" t="s">
        <v>24</v>
      </c>
      <c r="D11" s="6">
        <v>46637.194519574703</v>
      </c>
      <c r="E11" s="6">
        <v>46637.194519574703</v>
      </c>
      <c r="F11" s="6">
        <v>342256.779955754</v>
      </c>
      <c r="G11" s="6">
        <v>-227866.70624259199</v>
      </c>
      <c r="I11" t="s">
        <v>58</v>
      </c>
      <c r="J11" s="5">
        <f>SUMPRODUCT(E10:G10,E11:G11)</f>
        <v>51916.115688077851</v>
      </c>
    </row>
    <row r="12" spans="2:11" ht="15" outlineLevel="1" thickBot="1" x14ac:dyDescent="0.4">
      <c r="B12" s="31"/>
      <c r="C12" s="31" t="s">
        <v>25</v>
      </c>
      <c r="D12" s="25">
        <v>0.19676172089344199</v>
      </c>
      <c r="E12" s="25">
        <v>0.19676172089344199</v>
      </c>
      <c r="F12" s="25">
        <v>0.35585860842748301</v>
      </c>
      <c r="G12" s="25">
        <v>2.8788797399127399E-2</v>
      </c>
      <c r="I12" t="s">
        <v>60</v>
      </c>
      <c r="J12" s="6">
        <f>G10*(G11-J11)^2+E10*(E11-J11)^2+F10*(F11-J11)^2</f>
        <v>40657965698.072723</v>
      </c>
    </row>
    <row r="13" spans="2:11" x14ac:dyDescent="0.35">
      <c r="B13" t="s">
        <v>36</v>
      </c>
      <c r="I13" t="s">
        <v>63</v>
      </c>
      <c r="J13" s="6">
        <f>J12^(0.5)</f>
        <v>201638.20495648318</v>
      </c>
      <c r="K13" t="s">
        <v>64</v>
      </c>
    </row>
    <row r="14" spans="2:11" x14ac:dyDescent="0.35">
      <c r="B14" t="s">
        <v>37</v>
      </c>
      <c r="I14" t="s">
        <v>65</v>
      </c>
      <c r="J14" s="45">
        <f>J13/J11</f>
        <v>3.8839231765327908</v>
      </c>
    </row>
    <row r="15" spans="2:11" x14ac:dyDescent="0.35">
      <c r="B1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3AD2-24D8-4C0C-A498-F079804D2E12}">
  <sheetPr>
    <outlinePr summaryBelow="0"/>
  </sheetPr>
  <dimension ref="B1:G15"/>
  <sheetViews>
    <sheetView showGridLines="0" workbookViewId="0">
      <selection activeCell="C13" sqref="C13"/>
    </sheetView>
  </sheetViews>
  <sheetFormatPr defaultRowHeight="14.5" outlineLevelRow="1" outlineLevelCol="1" x14ac:dyDescent="0.35"/>
  <cols>
    <col min="3" max="3" width="21.6328125" bestFit="1" customWidth="1"/>
    <col min="4" max="7" width="12" bestFit="1" customWidth="1" outlineLevel="1"/>
  </cols>
  <sheetData>
    <row r="1" spans="2:7" ht="15" thickBot="1" x14ac:dyDescent="0.4"/>
    <row r="2" spans="2:7" ht="15.5" x14ac:dyDescent="0.35">
      <c r="B2" s="27" t="s">
        <v>32</v>
      </c>
      <c r="C2" s="27"/>
      <c r="D2" s="32"/>
      <c r="E2" s="32"/>
      <c r="F2" s="32"/>
      <c r="G2" s="32"/>
    </row>
    <row r="3" spans="2:7" ht="15.5" collapsed="1" x14ac:dyDescent="0.35">
      <c r="B3" s="26"/>
      <c r="C3" s="26"/>
      <c r="D3" s="33" t="s">
        <v>34</v>
      </c>
      <c r="E3" s="33" t="s">
        <v>26</v>
      </c>
      <c r="F3" s="33" t="s">
        <v>47</v>
      </c>
      <c r="G3" s="33" t="s">
        <v>48</v>
      </c>
    </row>
    <row r="4" spans="2:7" ht="31.5" hidden="1" outlineLevel="1" x14ac:dyDescent="0.35">
      <c r="B4" s="29"/>
      <c r="C4" s="29"/>
      <c r="E4" s="35" t="s">
        <v>66</v>
      </c>
      <c r="F4" s="35" t="s">
        <v>66</v>
      </c>
      <c r="G4" s="35" t="s">
        <v>66</v>
      </c>
    </row>
    <row r="5" spans="2:7" x14ac:dyDescent="0.35">
      <c r="B5" s="30" t="s">
        <v>33</v>
      </c>
      <c r="C5" s="30"/>
      <c r="D5" s="28"/>
      <c r="E5" s="28"/>
      <c r="F5" s="28"/>
      <c r="G5" s="28"/>
    </row>
    <row r="6" spans="2:7" outlineLevel="1" x14ac:dyDescent="0.35">
      <c r="B6" s="29"/>
      <c r="C6" s="9" t="s">
        <v>4</v>
      </c>
      <c r="D6">
        <v>475</v>
      </c>
      <c r="E6" s="34">
        <v>500</v>
      </c>
      <c r="F6" s="34">
        <v>475</v>
      </c>
      <c r="G6" s="34">
        <v>525</v>
      </c>
    </row>
    <row r="7" spans="2:7" outlineLevel="1" x14ac:dyDescent="0.35">
      <c r="B7" s="29"/>
      <c r="C7" s="9" t="s">
        <v>5</v>
      </c>
      <c r="D7" s="36">
        <v>2375</v>
      </c>
      <c r="E7" s="39">
        <v>2500</v>
      </c>
      <c r="F7" s="39">
        <v>2375</v>
      </c>
      <c r="G7" s="39">
        <v>2625</v>
      </c>
    </row>
    <row r="8" spans="2:7" outlineLevel="1" x14ac:dyDescent="0.35">
      <c r="B8" s="29"/>
      <c r="C8" s="9" t="s">
        <v>6</v>
      </c>
      <c r="D8" s="36">
        <v>-1575</v>
      </c>
      <c r="E8" s="39">
        <v>-1500</v>
      </c>
      <c r="F8" s="39">
        <v>-1575</v>
      </c>
      <c r="G8" s="39">
        <v>-1425</v>
      </c>
    </row>
    <row r="9" spans="2:7" outlineLevel="1" x14ac:dyDescent="0.35">
      <c r="B9" s="29"/>
      <c r="C9" s="9" t="s">
        <v>7</v>
      </c>
      <c r="D9" s="36">
        <v>-210000</v>
      </c>
      <c r="E9" s="39">
        <v>-200000</v>
      </c>
      <c r="F9" s="39">
        <v>-210000</v>
      </c>
      <c r="G9" s="39">
        <v>-190000</v>
      </c>
    </row>
    <row r="10" spans="2:7" x14ac:dyDescent="0.35">
      <c r="B10" s="30" t="s">
        <v>35</v>
      </c>
      <c r="C10" s="30"/>
      <c r="D10" s="28"/>
      <c r="E10" s="28"/>
      <c r="F10" s="28"/>
      <c r="G10" s="28"/>
    </row>
    <row r="11" spans="2:7" outlineLevel="1" x14ac:dyDescent="0.35">
      <c r="B11" s="29"/>
      <c r="C11" s="29" t="s">
        <v>24</v>
      </c>
      <c r="D11" s="6">
        <v>-227866.70624259199</v>
      </c>
      <c r="E11" s="6">
        <v>46637.194519574798</v>
      </c>
      <c r="F11" s="6">
        <v>-227866.70624259199</v>
      </c>
      <c r="G11" s="6">
        <v>342256.779955754</v>
      </c>
    </row>
    <row r="12" spans="2:7" ht="15" outlineLevel="1" thickBot="1" x14ac:dyDescent="0.4">
      <c r="B12" s="31"/>
      <c r="C12" s="31" t="s">
        <v>25</v>
      </c>
      <c r="D12" s="25">
        <v>2.8788797399127399E-2</v>
      </c>
      <c r="E12" s="25">
        <v>0.19676172089344199</v>
      </c>
      <c r="F12" s="25">
        <v>2.8788797399127399E-2</v>
      </c>
      <c r="G12" s="25">
        <v>0.35585860842748301</v>
      </c>
    </row>
    <row r="13" spans="2:7" x14ac:dyDescent="0.35">
      <c r="B13" t="s">
        <v>36</v>
      </c>
    </row>
    <row r="14" spans="2:7" x14ac:dyDescent="0.35">
      <c r="B14" t="s">
        <v>37</v>
      </c>
    </row>
    <row r="15" spans="2:7" x14ac:dyDescent="0.35">
      <c r="B1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749E-D238-4D52-859E-17F78029E7A2}">
  <sheetPr>
    <outlinePr summaryBelow="0"/>
  </sheetPr>
  <dimension ref="B1:G25"/>
  <sheetViews>
    <sheetView showGridLines="0" zoomScaleNormal="100" workbookViewId="0">
      <selection activeCell="D24" sqref="D24"/>
    </sheetView>
  </sheetViews>
  <sheetFormatPr defaultRowHeight="14.5" outlineLevelRow="1" outlineLevelCol="1" x14ac:dyDescent="0.35"/>
  <cols>
    <col min="3" max="3" width="6.08984375" bestFit="1" customWidth="1"/>
    <col min="4" max="4" width="12" bestFit="1" customWidth="1" outlineLevel="1"/>
    <col min="5" max="5" width="17.81640625" bestFit="1" customWidth="1" outlineLevel="1"/>
    <col min="6" max="7" width="12" bestFit="1" customWidth="1" outlineLevel="1"/>
  </cols>
  <sheetData>
    <row r="1" spans="2:7" ht="15" thickBot="1" x14ac:dyDescent="0.4"/>
    <row r="2" spans="2:7" ht="15.5" x14ac:dyDescent="0.35">
      <c r="B2" s="27" t="s">
        <v>32</v>
      </c>
      <c r="C2" s="27"/>
      <c r="D2" s="32"/>
      <c r="E2" s="32"/>
      <c r="F2" s="32"/>
      <c r="G2" s="32"/>
    </row>
    <row r="3" spans="2:7" ht="15.5" collapsed="1" x14ac:dyDescent="0.35">
      <c r="B3" s="26"/>
      <c r="C3" s="26"/>
      <c r="D3" s="33" t="s">
        <v>34</v>
      </c>
      <c r="E3" s="33" t="s">
        <v>26</v>
      </c>
      <c r="F3" s="33" t="s">
        <v>47</v>
      </c>
      <c r="G3" s="33" t="s">
        <v>48</v>
      </c>
    </row>
    <row r="4" spans="2:7" ht="63" hidden="1" outlineLevel="1" x14ac:dyDescent="0.35">
      <c r="B4" s="29"/>
      <c r="C4" s="29"/>
      <c r="E4" s="35" t="s">
        <v>55</v>
      </c>
      <c r="F4" s="35" t="s">
        <v>56</v>
      </c>
      <c r="G4" s="35" t="s">
        <v>55</v>
      </c>
    </row>
    <row r="5" spans="2:7" x14ac:dyDescent="0.35">
      <c r="B5" s="30" t="s">
        <v>33</v>
      </c>
      <c r="C5" s="30"/>
      <c r="D5" s="28"/>
      <c r="E5" s="28"/>
      <c r="F5" s="28"/>
      <c r="G5" s="28"/>
    </row>
    <row r="6" spans="2:7" outlineLevel="1" x14ac:dyDescent="0.35">
      <c r="B6" s="29"/>
      <c r="C6" s="29" t="s">
        <v>49</v>
      </c>
      <c r="D6">
        <v>475</v>
      </c>
      <c r="E6" s="34">
        <v>500</v>
      </c>
      <c r="F6" s="34">
        <v>475</v>
      </c>
      <c r="G6" s="34">
        <v>525</v>
      </c>
    </row>
    <row r="7" spans="2:7" outlineLevel="1" x14ac:dyDescent="0.35">
      <c r="B7" s="29"/>
      <c r="C7" s="29" t="s">
        <v>50</v>
      </c>
      <c r="D7" s="36">
        <v>2375</v>
      </c>
      <c r="E7" s="39">
        <v>2500</v>
      </c>
      <c r="F7" s="39">
        <v>2375</v>
      </c>
      <c r="G7" s="39">
        <v>2625</v>
      </c>
    </row>
    <row r="8" spans="2:7" outlineLevel="1" x14ac:dyDescent="0.35">
      <c r="B8" s="29"/>
      <c r="C8" s="29" t="s">
        <v>51</v>
      </c>
      <c r="D8" s="36">
        <v>-1575</v>
      </c>
      <c r="E8" s="39">
        <v>-1500</v>
      </c>
      <c r="F8" s="39">
        <v>-1575</v>
      </c>
      <c r="G8" s="39">
        <v>-1425</v>
      </c>
    </row>
    <row r="9" spans="2:7" outlineLevel="1" x14ac:dyDescent="0.35">
      <c r="B9" s="29"/>
      <c r="C9" s="29" t="s">
        <v>52</v>
      </c>
      <c r="D9" s="36">
        <v>-210000</v>
      </c>
      <c r="E9" s="39">
        <v>-200000</v>
      </c>
      <c r="F9" s="39">
        <v>-210000</v>
      </c>
      <c r="G9" s="39">
        <v>-190000</v>
      </c>
    </row>
    <row r="10" spans="2:7" x14ac:dyDescent="0.35">
      <c r="B10" s="30" t="s">
        <v>35</v>
      </c>
      <c r="C10" s="30"/>
      <c r="D10" s="28"/>
      <c r="E10" s="28"/>
      <c r="F10" s="28"/>
      <c r="G10" s="28"/>
    </row>
    <row r="11" spans="2:7" outlineLevel="1" x14ac:dyDescent="0.35">
      <c r="B11" s="29"/>
      <c r="C11" s="29" t="s">
        <v>53</v>
      </c>
      <c r="D11" s="6">
        <v>-227866.70624259199</v>
      </c>
      <c r="E11" s="6">
        <v>46637.194519574703</v>
      </c>
      <c r="F11" s="6">
        <v>-227866.70624259199</v>
      </c>
      <c r="G11" s="6">
        <v>342256.779955754</v>
      </c>
    </row>
    <row r="12" spans="2:7" ht="15" outlineLevel="1" thickBot="1" x14ac:dyDescent="0.4">
      <c r="B12" s="31"/>
      <c r="C12" s="31" t="s">
        <v>54</v>
      </c>
      <c r="D12" s="25">
        <v>2.8788797399127399E-2</v>
      </c>
      <c r="E12" s="25">
        <v>0.19676172089344199</v>
      </c>
      <c r="F12" s="25">
        <v>2.8788797399127399E-2</v>
      </c>
      <c r="G12" s="25">
        <v>0.35585860842748301</v>
      </c>
    </row>
    <row r="13" spans="2:7" x14ac:dyDescent="0.35">
      <c r="B13" t="s">
        <v>36</v>
      </c>
    </row>
    <row r="14" spans="2:7" x14ac:dyDescent="0.35">
      <c r="B14" t="s">
        <v>37</v>
      </c>
    </row>
    <row r="15" spans="2:7" x14ac:dyDescent="0.35">
      <c r="B15" t="s">
        <v>38</v>
      </c>
    </row>
    <row r="17" spans="4:6" x14ac:dyDescent="0.35">
      <c r="E17" t="s">
        <v>24</v>
      </c>
      <c r="F17" t="s">
        <v>57</v>
      </c>
    </row>
    <row r="18" spans="4:6" x14ac:dyDescent="0.35">
      <c r="D18" t="s">
        <v>26</v>
      </c>
      <c r="E18" s="5">
        <v>46637.194519574703</v>
      </c>
      <c r="F18">
        <v>0.5</v>
      </c>
    </row>
    <row r="19" spans="4:6" x14ac:dyDescent="0.35">
      <c r="D19" t="s">
        <v>47</v>
      </c>
      <c r="E19" s="5">
        <v>-227866.70624259199</v>
      </c>
      <c r="F19">
        <v>0.25</v>
      </c>
    </row>
    <row r="20" spans="4:6" x14ac:dyDescent="0.35">
      <c r="D20" t="s">
        <v>48</v>
      </c>
      <c r="E20" s="5">
        <v>342256.779955754</v>
      </c>
      <c r="F20">
        <v>0.25</v>
      </c>
    </row>
    <row r="22" spans="4:6" x14ac:dyDescent="0.35">
      <c r="D22" t="s">
        <v>58</v>
      </c>
      <c r="E22" s="5">
        <f>SUMPRODUCT(E18:E20,F18:F20)</f>
        <v>51916.115688077858</v>
      </c>
    </row>
    <row r="23" spans="4:6" x14ac:dyDescent="0.35">
      <c r="D23" t="s">
        <v>60</v>
      </c>
      <c r="E23" s="6">
        <f>(0.5*(E18-E22)^2)+(0.25*(E19-E22)^2)+(0.25*(E20-E22)^2)</f>
        <v>40657965698.072723</v>
      </c>
    </row>
    <row r="24" spans="4:6" x14ac:dyDescent="0.35">
      <c r="D24" t="s">
        <v>59</v>
      </c>
      <c r="E24" s="6">
        <f>E23^0.5</f>
        <v>201638.20495648318</v>
      </c>
    </row>
    <row r="25" spans="4:6" x14ac:dyDescent="0.35">
      <c r="D25" t="s">
        <v>61</v>
      </c>
      <c r="E25" s="5">
        <f>E24/E22</f>
        <v>3.8839231765327904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11-1Ross</vt:lpstr>
      <vt:lpstr>Resumo do cenário 2</vt:lpstr>
      <vt:lpstr>Resumo do cenário 3</vt:lpstr>
      <vt:lpstr>Resumo do cenário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2026-10-08T17:26:45Z</dcterms:modified>
</cp:coreProperties>
</file>